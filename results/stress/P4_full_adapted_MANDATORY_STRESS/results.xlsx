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55.2950216499999</v>
      </c>
      <c r="N7" t="n">
        <v>453.9474</v>
      </c>
      <c r="O7" t="n">
        <v>453.9474</v>
      </c>
      <c r="P7" t="n">
        <v>5.4473688</v>
      </c>
      <c r="Q7" t="n">
        <v>0.012</v>
      </c>
      <c r="R7" t="n">
        <v>55.2945205479452</v>
      </c>
      <c r="S7" t="b">
        <v>1</v>
      </c>
      <c r="T7" t="n">
        <v>55.29500604999989</v>
      </c>
      <c r="U7" t="inlineStr">
        <is>
          <t>ZBO</t>
        </is>
      </c>
      <c r="V7" t="n">
        <v>120</v>
      </c>
      <c r="W7" t="n">
        <v>0</v>
      </c>
      <c r="X7" t="n">
        <v>1.20792265079217e-13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55.70257845000008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52.00130791666675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53.73403738333341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55.46676685000008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57.19949631666675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58.93222578333341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60.66495525000008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62.39768471666675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64.13041418333341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65.86314365000008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67.59587311666675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69.32860258333342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76.86399601666676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77.69105611666674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78.51811621666673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79.34517631666671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80.17223641666669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80.99929651666667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81.82635661666666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82.65341671666664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83.48047681666662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84.30753691666661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85.13459701666659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85.96165711666657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37.82895</v>
      </c>
      <c r="J62" t="n">
        <v>37.82895</v>
      </c>
      <c r="K62" t="n">
        <v>0.4539474</v>
      </c>
      <c r="L62" t="n">
        <v>92.66999304999987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55.29499304999988</v>
      </c>
      <c r="T62" t="n">
        <v>3.317699504999993</v>
      </c>
      <c r="U62" t="n">
        <v>92.66999304999989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55.29499304999988</v>
      </c>
      <c r="I63" t="n">
        <v>37.82895</v>
      </c>
      <c r="J63" t="n">
        <v>37.82895</v>
      </c>
      <c r="K63" t="n">
        <v>0.4539474</v>
      </c>
      <c r="L63" t="n">
        <v>92.66999564999988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55.29499564999988</v>
      </c>
      <c r="T63" t="n">
        <v>3.317699660999993</v>
      </c>
      <c r="U63" t="n">
        <v>92.66999564999989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55.29499564999988</v>
      </c>
      <c r="I64" t="n">
        <v>37.82895</v>
      </c>
      <c r="J64" t="n">
        <v>37.82895</v>
      </c>
      <c r="K64" t="n">
        <v>0.4539474</v>
      </c>
      <c r="L64" t="n">
        <v>92.66999824999988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55.29499824999989</v>
      </c>
      <c r="T64" t="n">
        <v>3.317699816999993</v>
      </c>
      <c r="U64" t="n">
        <v>92.66999824999988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55.29499824999989</v>
      </c>
      <c r="I65" t="n">
        <v>37.82895</v>
      </c>
      <c r="J65" t="n">
        <v>37.82895</v>
      </c>
      <c r="K65" t="n">
        <v>0.4539474</v>
      </c>
      <c r="L65" t="n">
        <v>92.67000084999988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55.29500084999989</v>
      </c>
      <c r="T65" t="n">
        <v>3.317699972999993</v>
      </c>
      <c r="U65" t="n">
        <v>92.67000084999989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55.29500084999989</v>
      </c>
      <c r="I66" t="n">
        <v>37.82895</v>
      </c>
      <c r="J66" t="n">
        <v>37.82895</v>
      </c>
      <c r="K66" t="n">
        <v>0.4539474</v>
      </c>
      <c r="L66" t="n">
        <v>92.67000344999988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55.29500344999989</v>
      </c>
      <c r="T66" t="n">
        <v>3.317700128999993</v>
      </c>
      <c r="U66" t="n">
        <v>92.67000344999988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55.29500344999989</v>
      </c>
      <c r="I67" t="n">
        <v>37.82895</v>
      </c>
      <c r="J67" t="n">
        <v>37.82895</v>
      </c>
      <c r="K67" t="n">
        <v>0.4539474</v>
      </c>
      <c r="L67" t="n">
        <v>92.67000604999988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55.29500604999989</v>
      </c>
      <c r="T67" t="n">
        <v>3.317700284999993</v>
      </c>
      <c r="U67" t="n">
        <v>92.6700060499999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55.29500604999989</v>
      </c>
      <c r="I68" t="n">
        <v>37.82895</v>
      </c>
      <c r="J68" t="n">
        <v>37.82895</v>
      </c>
      <c r="K68" t="n">
        <v>0.4539474</v>
      </c>
      <c r="L68" t="n">
        <v>92.67000864999989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55.29500864999989</v>
      </c>
      <c r="T68" t="n">
        <v>3.317700440999994</v>
      </c>
      <c r="U68" t="n">
        <v>92.67000864999989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55.29500864999989</v>
      </c>
      <c r="I69" t="n">
        <v>37.82895</v>
      </c>
      <c r="J69" t="n">
        <v>37.82895</v>
      </c>
      <c r="K69" t="n">
        <v>0.4539474</v>
      </c>
      <c r="L69" t="n">
        <v>92.67001124999989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55.2950112499999</v>
      </c>
      <c r="T69" t="n">
        <v>3.317700596999993</v>
      </c>
      <c r="U69" t="n">
        <v>92.6700112499999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55.2950112499999</v>
      </c>
      <c r="I70" t="n">
        <v>37.82895</v>
      </c>
      <c r="J70" t="n">
        <v>37.82895</v>
      </c>
      <c r="K70" t="n">
        <v>0.4539474</v>
      </c>
      <c r="L70" t="n">
        <v>92.67001384999989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55.2950138499999</v>
      </c>
      <c r="T70" t="n">
        <v>3.317700752999994</v>
      </c>
      <c r="U70" t="n">
        <v>92.67001384999989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55.2950138499999</v>
      </c>
      <c r="I71" t="n">
        <v>37.82895</v>
      </c>
      <c r="J71" t="n">
        <v>37.82895</v>
      </c>
      <c r="K71" t="n">
        <v>0.4539474</v>
      </c>
      <c r="L71" t="n">
        <v>92.67001644999989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55.2950164499999</v>
      </c>
      <c r="T71" t="n">
        <v>3.317700908999994</v>
      </c>
      <c r="U71" t="n">
        <v>92.67001644999991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55.2950164499999</v>
      </c>
      <c r="I72" t="n">
        <v>37.82895</v>
      </c>
      <c r="J72" t="n">
        <v>37.82895</v>
      </c>
      <c r="K72" t="n">
        <v>0.4539474</v>
      </c>
      <c r="L72" t="n">
        <v>92.67001904999989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55.2950190499999</v>
      </c>
      <c r="T72" t="n">
        <v>3.317701064999994</v>
      </c>
      <c r="U72" t="n">
        <v>92.67001904999989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55.2950190499999</v>
      </c>
      <c r="I73" t="n">
        <v>37.82895</v>
      </c>
      <c r="J73" t="n">
        <v>37.82895</v>
      </c>
      <c r="K73" t="n">
        <v>0.4539474</v>
      </c>
      <c r="L73" t="n">
        <v>92.6700216499999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55.2950216499999</v>
      </c>
      <c r="T73" t="n">
        <v>3.317701220999994</v>
      </c>
      <c r="U73" t="n">
        <v>92.67002164999991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</v>
      </c>
      <c r="N20" t="n">
        <v>56.0372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  <c r="V20" t="n">
        <v>0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  <c r="V25" t="n">
        <v>0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  <c r="V29" t="n">
        <v>0</v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  <c r="M4" t="n">
        <v>0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2170.36412</v>
      </c>
      <c r="E5" t="n">
        <v>102.3114</v>
      </c>
      <c r="F5" t="n">
        <v>25.83328256400006</v>
      </c>
      <c r="G5" t="n">
        <v>82</v>
      </c>
      <c r="H5" t="n">
        <v>0</v>
      </c>
      <c r="I5" t="n">
        <v>2380.508802564</v>
      </c>
      <c r="J5" t="n">
        <v>0.7938322410201696</v>
      </c>
      <c r="K5" t="n">
        <v>1889.724637507621</v>
      </c>
      <c r="L5" t="n">
        <v>1790</v>
      </c>
      <c r="M5" t="n">
        <v>0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2560.35579</v>
      </c>
      <c r="E6" t="n">
        <v>116.2545</v>
      </c>
      <c r="F6" t="n">
        <v>36.23949349199999</v>
      </c>
      <c r="G6" t="n">
        <v>82</v>
      </c>
      <c r="H6" t="n">
        <v>0</v>
      </c>
      <c r="I6" t="n">
        <v>2794.849783492</v>
      </c>
      <c r="J6" t="n">
        <v>0.7350298527964533</v>
      </c>
      <c r="K6" t="n">
        <v>2054.298024948324</v>
      </c>
      <c r="L6" t="n">
        <v>1790</v>
      </c>
      <c r="M6" t="n">
        <v>0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39.81240435599992</v>
      </c>
      <c r="G7" t="n">
        <v>82</v>
      </c>
      <c r="H7" t="n">
        <v>0</v>
      </c>
      <c r="I7" t="n">
        <v>2833.536464356</v>
      </c>
      <c r="J7" t="n">
        <v>0.6805831970337529</v>
      </c>
      <c r="K7" t="n">
        <v>1928.457305823123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27.71964825000006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43.5529815833334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17.948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17.9471</v>
      </c>
      <c r="G55" t="n">
        <v>17.948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45.37026925000009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2038-12,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69.32860258333342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2038-12,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CAPACITY_EXCEEDED</t>
        </is>
      </c>
      <c r="D62" t="n">
        <v>2038</v>
      </c>
      <c r="E62" t="inlineStr">
        <is>
          <t>reserved_C_t_per_year</t>
        </is>
      </c>
      <c r="F62" t="n">
        <v>56.038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ORDER_EXCEEDS_RESERVATION</t>
        </is>
      </c>
      <c r="D63" t="n">
        <v>2038</v>
      </c>
      <c r="E63" t="inlineStr">
        <is>
          <t>ordered_C_t</t>
        </is>
      </c>
      <c r="F63" t="n">
        <v>56.0372</v>
      </c>
      <c r="G63" t="n">
        <v>56.038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CAPACITY_EXCEEDED</t>
        </is>
      </c>
      <c r="D64" t="n">
        <v>2038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ORDER_EXCEEDS_RESERVATION</t>
        </is>
      </c>
      <c r="D65" t="n">
        <v>2038</v>
      </c>
      <c r="E65" t="inlineStr">
        <is>
          <t>ordered_D_t</t>
        </is>
      </c>
      <c r="F65" t="n">
        <v>100</v>
      </c>
      <c r="G65" t="n">
        <v>100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LEAD_TIME_VIOLATED</t>
        </is>
      </c>
      <c r="D66" t="n">
        <v>2038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SOURCE_NOT_AVAILABLE</t>
        </is>
      </c>
      <c r="D67" t="n">
        <v>2038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STORAGE_OVERFLOW</t>
        </is>
      </c>
      <c r="D68" t="n">
        <v>2039</v>
      </c>
      <c r="E68" t="inlineStr">
        <is>
          <t>end_of_month_stock_t_in_worst_month</t>
        </is>
      </c>
      <c r="F68" t="n">
        <v>55.29499044999989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2039-12, хранилище ZBO; проверка помесячная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INTRA_MONTH_PEAK</t>
        </is>
      </c>
      <c r="D69" t="n">
        <v>2039</v>
      </c>
      <c r="E69" t="inlineStr">
        <is>
          <t>intra_month_peak_stock_t_in_worst_month</t>
        </is>
      </c>
      <c r="F69" t="n">
        <v>85.96165711666657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2039-12, хранилище ZBO; поставка одной партией в начале месяца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CAPACITY_EXCEEDED</t>
        </is>
      </c>
      <c r="D70" t="n">
        <v>2039</v>
      </c>
      <c r="E70" t="inlineStr">
        <is>
          <t>reserved_A_t_per_year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ORDER_EXCEEDS_RESERVATION</t>
        </is>
      </c>
      <c r="D71" t="n">
        <v>2039</v>
      </c>
      <c r="E71" t="inlineStr">
        <is>
          <t>ordered_A_t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CAPACITY_EXCEEDED</t>
        </is>
      </c>
      <c r="D72" t="n">
        <v>2039</v>
      </c>
      <c r="E72" t="inlineStr">
        <is>
          <t>reserved_C_t_per_year</t>
        </is>
      </c>
      <c r="F72" t="n">
        <v>102.515</v>
      </c>
      <c r="G72" t="n">
        <v>130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ORDER_EXCEEDS_RESERVATION</t>
        </is>
      </c>
      <c r="D73" t="n">
        <v>2039</v>
      </c>
      <c r="E73" t="inlineStr">
        <is>
          <t>ordered_C_t</t>
        </is>
      </c>
      <c r="F73" t="n">
        <v>102.5149</v>
      </c>
      <c r="G73" t="n">
        <v>102.515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CAPACITY_EXCEEDED</t>
        </is>
      </c>
      <c r="D74" t="n">
        <v>2039</v>
      </c>
      <c r="E74" t="inlineStr">
        <is>
          <t>reserved_D_t_per_year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ORDER_EXCEEDS_RESERVATION</t>
        </is>
      </c>
      <c r="D75" t="n">
        <v>2039</v>
      </c>
      <c r="E75" t="inlineStr">
        <is>
          <t>ordered_D_t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LEAD_TIME_VIOLATED</t>
        </is>
      </c>
      <c r="D76" t="n">
        <v>2039</v>
      </c>
      <c r="E76" t="inlineStr">
        <is>
          <t>all_deliveries_ordered_within_lead_time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SOURCE_NOT_AVAILABLE</t>
        </is>
      </c>
      <c r="D77" t="n">
        <v>2039</v>
      </c>
      <c r="E77" t="inlineStr">
        <is>
          <t>all_orders_from_available_sources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STORAGE_OVERFLOW</t>
        </is>
      </c>
      <c r="D78" t="n">
        <v>2040</v>
      </c>
      <c r="E78" t="inlineStr">
        <is>
          <t>end_of_month_stock_t_in_worst_month</t>
        </is>
      </c>
      <c r="F78" t="n">
        <v>55.2950216499999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2040-12, хранилище ZBO; проверка помесячная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INTRA_MONTH_PEAK</t>
        </is>
      </c>
      <c r="D79" t="n">
        <v>2040</v>
      </c>
      <c r="E79" t="inlineStr">
        <is>
          <t>intra_month_peak_stock_t_in_worst_month</t>
        </is>
      </c>
      <c r="F79" t="n">
        <v>92.67002164999991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2040-12, хранилище ZBO; поставка одной партией в начале месяца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CAPACITY_EXCEEDED</t>
        </is>
      </c>
      <c r="D80" t="n">
        <v>2040</v>
      </c>
      <c r="E80" t="inlineStr">
        <is>
          <t>reserved_A_t_per_year</t>
        </is>
      </c>
      <c r="F80" t="n">
        <v>190</v>
      </c>
      <c r="G80" t="n">
        <v>190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Earth-Core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ORDER_EXCEEDS_RESERVATION</t>
        </is>
      </c>
      <c r="D81" t="n">
        <v>2040</v>
      </c>
      <c r="E81" t="inlineStr">
        <is>
          <t>ordered_A_t</t>
        </is>
      </c>
      <c r="F81" t="n">
        <v>190</v>
      </c>
      <c r="G81" t="n">
        <v>190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Earth-Core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CAPACITY_EXCEEDED</t>
        </is>
      </c>
      <c r="D82" t="n">
        <v>2040</v>
      </c>
      <c r="E82" t="inlineStr">
        <is>
          <t>reserved_B_t_per_year</t>
        </is>
      </c>
      <c r="F82" t="n">
        <v>13.948</v>
      </c>
      <c r="G82" t="n">
        <v>110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Earth-Flex</t>
        </is>
      </c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ORDER_EXCEEDS_RESERVATION</t>
        </is>
      </c>
      <c r="D83" t="n">
        <v>2040</v>
      </c>
      <c r="E83" t="inlineStr">
        <is>
          <t>ordered_B_t</t>
        </is>
      </c>
      <c r="F83" t="n">
        <v>13.9474</v>
      </c>
      <c r="G83" t="n">
        <v>13.948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Earth-Flex</t>
        </is>
      </c>
    </row>
    <row r="84">
      <c r="A84" t="inlineStr">
        <is>
          <t>MANDATORY_STRESS</t>
        </is>
      </c>
      <c r="B84" t="inlineStr">
        <is>
          <t>P4_full_adapted</t>
        </is>
      </c>
      <c r="C84" t="inlineStr">
        <is>
          <t>CAPACITY_EXCEEDED</t>
        </is>
      </c>
      <c r="D84" t="n">
        <v>2040</v>
      </c>
      <c r="E84" t="inlineStr">
        <is>
          <t>reserved_C_t_per_year</t>
        </is>
      </c>
      <c r="F84" t="n">
        <v>130</v>
      </c>
      <c r="G84" t="n">
        <v>130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Earth-New</t>
        </is>
      </c>
    </row>
    <row r="85">
      <c r="A85" t="inlineStr">
        <is>
          <t>MANDATORY_STRESS</t>
        </is>
      </c>
      <c r="B85" t="inlineStr">
        <is>
          <t>P4_full_adapted</t>
        </is>
      </c>
      <c r="C85" t="inlineStr">
        <is>
          <t>ORDER_EXCEEDS_RESERVATION</t>
        </is>
      </c>
      <c r="D85" t="n">
        <v>2040</v>
      </c>
      <c r="E85" t="inlineStr">
        <is>
          <t>ordered_C_t</t>
        </is>
      </c>
      <c r="F85" t="n">
        <v>130</v>
      </c>
      <c r="G85" t="n">
        <v>130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Earth-New</t>
        </is>
      </c>
    </row>
    <row r="86">
      <c r="A86" t="inlineStr">
        <is>
          <t>MANDATORY_STRESS</t>
        </is>
      </c>
      <c r="B86" t="inlineStr">
        <is>
          <t>P4_full_adapted</t>
        </is>
      </c>
      <c r="C86" t="inlineStr">
        <is>
          <t>CAPACITY_EXCEEDED</t>
        </is>
      </c>
      <c r="D86" t="n">
        <v>2040</v>
      </c>
      <c r="E86" t="inlineStr">
        <is>
          <t>reserved_D_t_per_year</t>
        </is>
      </c>
      <c r="F86" t="n">
        <v>120</v>
      </c>
      <c r="G86" t="n">
        <v>120</v>
      </c>
      <c r="H86" t="inlineStr">
        <is>
          <t>&lt;=</t>
        </is>
      </c>
      <c r="I86" t="b">
        <v>1</v>
      </c>
      <c r="J86" t="inlineStr">
        <is>
          <t>hard</t>
        </is>
      </c>
      <c r="K86" t="inlineStr">
        <is>
          <t>Lunar-ISRU</t>
        </is>
      </c>
    </row>
    <row r="87">
      <c r="A87" t="inlineStr">
        <is>
          <t>MANDATORY_STRESS</t>
        </is>
      </c>
      <c r="B87" t="inlineStr">
        <is>
          <t>P4_full_adapted</t>
        </is>
      </c>
      <c r="C87" t="inlineStr">
        <is>
          <t>ORDER_EXCEEDS_RESERVATION</t>
        </is>
      </c>
      <c r="D87" t="n">
        <v>2040</v>
      </c>
      <c r="E87" t="inlineStr">
        <is>
          <t>ordered_D_t</t>
        </is>
      </c>
      <c r="F87" t="n">
        <v>120</v>
      </c>
      <c r="G87" t="n">
        <v>120</v>
      </c>
      <c r="H87" t="inlineStr">
        <is>
          <t>&lt;=</t>
        </is>
      </c>
      <c r="I87" t="b">
        <v>1</v>
      </c>
      <c r="J87" t="inlineStr">
        <is>
          <t>hard</t>
        </is>
      </c>
      <c r="K87" t="inlineStr">
        <is>
          <t>Lunar-ISRU</t>
        </is>
      </c>
    </row>
    <row r="88">
      <c r="A88" t="inlineStr">
        <is>
          <t>MANDATORY_STRESS</t>
        </is>
      </c>
      <c r="B88" t="inlineStr">
        <is>
          <t>P4_full_adapted</t>
        </is>
      </c>
      <c r="C88" t="inlineStr">
        <is>
          <t>LEAD_TIME_VIOLATED</t>
        </is>
      </c>
      <c r="D88" t="n">
        <v>2040</v>
      </c>
      <c r="E88" t="inlineStr">
        <is>
          <t>all_deliveries_ordered_within_lead_time</t>
        </is>
      </c>
      <c r="F88" t="n">
        <v>1</v>
      </c>
      <c r="G88" t="n">
        <v>1</v>
      </c>
      <c r="H88">
        <f>=</f>
        <v/>
      </c>
      <c r="I88" t="b">
        <v>1</v>
      </c>
      <c r="J88" t="inlineStr">
        <is>
          <t>hard</t>
        </is>
      </c>
      <c r="K88" t="inlineStr"/>
    </row>
    <row r="89">
      <c r="A89" t="inlineStr">
        <is>
          <t>MANDATORY_STRESS</t>
        </is>
      </c>
      <c r="B89" t="inlineStr">
        <is>
          <t>P4_full_adapted</t>
        </is>
      </c>
      <c r="C89" t="inlineStr">
        <is>
          <t>SOURCE_NOT_AVAILABLE</t>
        </is>
      </c>
      <c r="D89" t="n">
        <v>2040</v>
      </c>
      <c r="E89" t="inlineStr">
        <is>
          <t>all_orders_from_available_sources</t>
        </is>
      </c>
      <c r="F89" t="n">
        <v>1</v>
      </c>
      <c r="G89" t="n">
        <v>1</v>
      </c>
      <c r="H89">
        <f>=</f>
        <v/>
      </c>
      <c r="I89" t="b">
        <v>1</v>
      </c>
      <c r="J89" t="inlineStr">
        <is>
          <t>hard</t>
        </is>
      </c>
      <c r="K8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MANDATORY_STRESS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MANDATORY_STRESS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MANDATORY_STRESS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MANDATORY_STRESS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MANDATORY_STRESS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MANDATORY_STRESS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MANDATORY_STRESS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MANDATORY_STRESS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MANDATORY_STRESS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MANDATORY_STRESS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MANDATORY_STRESS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MANDATORY_STRESS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MANDATORY_STRESS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MANDATORY_STRESS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MANDATORY_STRESS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MANDATORY_STRESS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MANDATORY_STRESS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MANDATORY_STRESS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MANDATORY_STRESS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MANDATORY_STRESS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MANDATORY_STRESS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MANDATORY_STRESS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MANDATORY_STRESS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MANDATORY_STRESS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MANDATORY_STRESS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MANDATORY_STRESS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MANDATORY_STRESS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MANDATORY_STRESS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MANDATORY_STRESS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MANDATORY_STRESS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MANDATORY_STRESS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MANDATORY_STRESS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MANDATORY_STRESS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MANDATORY_STRESS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MANDATORY_STRESS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total_cost_mln</t>
        </is>
      </c>
      <c r="D2" t="n">
        <v>13112.751998009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pv_cost_mln</t>
        </is>
      </c>
      <c r="D3" t="n">
        <v>10578.59778887073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cost_per_served_t_mln</t>
        </is>
      </c>
      <c r="D10" t="n">
        <v>8.548078225559975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6.896087215691483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losses_total_t</t>
        </is>
      </c>
      <c r="D14" t="n">
        <v>31.40823735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throughput_total_t</t>
        </is>
      </c>
      <c r="D15" t="n">
        <v>1608.3744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procurement_total_mln</t>
        </is>
      </c>
      <c r="D17" t="n">
        <v>10366.32576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holding_total_mln</t>
        </is>
      </c>
      <c r="D19" t="n">
        <v>148.1296680090001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closing_inventory_t</t>
        </is>
      </c>
      <c r="D24" t="n">
        <v>55.2950216499999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hard_violations</t>
        </is>
      </c>
      <c r="D27" t="n">
        <v>0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feasible</t>
        </is>
      </c>
      <c r="D30" t="b">
        <v>1</v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checks_total</t>
        </is>
      </c>
      <c r="D31" t="n">
        <v>88</v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checks_passed</t>
        </is>
      </c>
      <c r="D32" t="n">
        <v>88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2026-09-19T19:22:56Z</dcterms:created>
  <dcterms:modified xsi:type="dcterms:W3CDTF">2026-09-19T19:22:56Z</dcterms:modified>
</cp:coreProperties>
</file>